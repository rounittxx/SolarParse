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olar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2937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A463"/>
      </patternFill>
    </fill>
    <fill>
      <patternFill patternType="solid">
        <fgColor rgb="00FFFBEA"/>
      </patternFill>
    </fill>
    <fill>
      <patternFill patternType="solid">
        <fgColor rgb="001F2937"/>
      </patternFill>
    </fill>
    <fill>
      <patternFill patternType="solid">
        <fgColor rgb="00FFFFF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3" fontId="0" fillId="6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8" customWidth="1" min="3" max="3"/>
  </cols>
  <sheetData>
    <row r="2">
      <c r="B2" s="1" t="inlineStr">
        <is>
          <t>Energybae -- Customer Bill Inputs</t>
        </is>
      </c>
    </row>
    <row r="4">
      <c r="B4" s="2" t="inlineStr">
        <is>
          <t>Consumer Name</t>
        </is>
      </c>
      <c r="C4" s="3" t="inlineStr">
        <is>
          <t>Anurag Singh</t>
        </is>
      </c>
    </row>
    <row r="5">
      <c r="B5" s="2" t="inlineStr">
        <is>
          <t>Consumer Number</t>
        </is>
      </c>
      <c r="C5" s="3" t="inlineStr">
        <is>
          <t>020012345678</t>
        </is>
      </c>
    </row>
    <row r="6">
      <c r="B6" s="2" t="inlineStr">
        <is>
          <t>Billing Period</t>
        </is>
      </c>
      <c r="C6" s="3" t="inlineStr">
        <is>
          <t>April 2025</t>
        </is>
      </c>
    </row>
    <row r="7">
      <c r="B7" s="2" t="inlineStr">
        <is>
          <t>Units Consumed  (kWh)</t>
        </is>
      </c>
      <c r="C7" s="3" t="n">
        <v>421</v>
      </c>
    </row>
    <row r="8">
      <c r="B8" s="2" t="inlineStr">
        <is>
          <t>Total Bill Amount  (INR)</t>
        </is>
      </c>
      <c r="C8" s="3" t="n">
        <v>4264.64</v>
      </c>
    </row>
    <row r="9">
      <c r="B9" s="2" t="inlineStr">
        <is>
          <t>Tariff Category</t>
        </is>
      </c>
      <c r="C9" s="3" t="inlineStr">
        <is>
          <t>LT-I Residential</t>
        </is>
      </c>
    </row>
    <row r="10">
      <c r="B10" s="2" t="inlineStr">
        <is>
          <t>Connected Load  (kW)</t>
        </is>
      </c>
      <c r="C10" s="3" t="n">
        <v>4.5</v>
      </c>
    </row>
    <row r="11">
      <c r="B11" s="2" t="inlineStr">
        <is>
          <t>Sanctioned Load  (kW)</t>
        </is>
      </c>
      <c r="C11" s="3" t="n">
        <v>5</v>
      </c>
    </row>
    <row r="12">
      <c r="B12" s="2" t="inlineStr">
        <is>
          <t>Meter Number</t>
        </is>
      </c>
      <c r="C12" s="3" t="inlineStr">
        <is>
          <t>MTR-9988-7766-55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4"/>
  <sheetViews>
    <sheetView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22" customWidth="1" min="3" max="3"/>
    <col width="18" customWidth="1" min="4" max="4"/>
  </cols>
  <sheetData>
    <row r="2">
      <c r="B2" s="1" t="inlineStr">
        <is>
          <t>Solar Load Calculation</t>
        </is>
      </c>
    </row>
    <row r="3">
      <c r="B3" s="4" t="inlineStr">
        <is>
          <t>Metric</t>
        </is>
      </c>
      <c r="C3" s="4" t="inlineStr">
        <is>
          <t>Value</t>
        </is>
      </c>
      <c r="D3" s="4" t="inlineStr">
        <is>
          <t>Unit</t>
        </is>
      </c>
    </row>
    <row r="4">
      <c r="B4" s="5" t="inlineStr">
        <is>
          <t>Avg daily consumption</t>
        </is>
      </c>
      <c r="C4" s="6">
        <f>Inputs!C7/30</f>
        <v/>
      </c>
      <c r="D4" s="7" t="inlineStr">
        <is>
          <t>kWh / day</t>
        </is>
      </c>
    </row>
    <row r="5">
      <c r="B5" s="8" t="inlineStr">
        <is>
          <t>Avg peak sun hours (assumed)</t>
        </is>
      </c>
      <c r="C5" s="9" t="n">
        <v>4.5</v>
      </c>
      <c r="D5" s="9" t="inlineStr">
        <is>
          <t>hours</t>
        </is>
      </c>
    </row>
    <row r="6">
      <c r="B6" s="5" t="inlineStr">
        <is>
          <t>Recommended system size</t>
        </is>
      </c>
      <c r="C6" s="6">
        <f>ROUND(C4/C5, 2)</f>
        <v/>
      </c>
      <c r="D6" s="7" t="inlineStr">
        <is>
          <t>kW</t>
        </is>
      </c>
    </row>
    <row r="7">
      <c r="B7" s="8" t="inlineStr">
        <is>
          <t>Estimated system cost</t>
        </is>
      </c>
      <c r="C7" s="10">
        <f>C6*55000</f>
        <v/>
      </c>
      <c r="D7" s="9" t="inlineStr">
        <is>
          <t>INR</t>
        </is>
      </c>
    </row>
    <row r="8">
      <c r="B8" s="5" t="inlineStr">
        <is>
          <t>Annual generation (yr 1)</t>
        </is>
      </c>
      <c r="C8" s="7">
        <f>C6*C5*365</f>
        <v/>
      </c>
      <c r="D8" s="7" t="inlineStr">
        <is>
          <t>kWh / year</t>
        </is>
      </c>
    </row>
    <row r="9">
      <c r="B9" s="8" t="inlineStr">
        <is>
          <t>Avg tariff (assumed)</t>
        </is>
      </c>
      <c r="C9" s="10" t="n">
        <v>9.5</v>
      </c>
      <c r="D9" s="9" t="inlineStr">
        <is>
          <t>INR / kWh</t>
        </is>
      </c>
    </row>
    <row r="10">
      <c r="B10" s="5" t="inlineStr">
        <is>
          <t>Annual savings (yr 1)</t>
        </is>
      </c>
      <c r="C10" s="11">
        <f>C8*C9</f>
        <v/>
      </c>
      <c r="D10" s="7" t="inlineStr">
        <is>
          <t>INR / year</t>
        </is>
      </c>
    </row>
    <row r="11">
      <c r="B11" s="8" t="inlineStr">
        <is>
          <t>Payback period</t>
        </is>
      </c>
      <c r="C11" s="9">
        <f>ROUND(C7/C10, 1)</f>
        <v/>
      </c>
      <c r="D11" s="9" t="inlineStr">
        <is>
          <t>years</t>
        </is>
      </c>
    </row>
    <row r="12">
      <c r="B12" s="5" t="inlineStr">
        <is>
          <t>25-year net savings</t>
        </is>
      </c>
      <c r="C12" s="11">
        <f>C10*25 - C7</f>
        <v/>
      </c>
      <c r="D12" s="7" t="inlineStr">
        <is>
          <t>INR</t>
        </is>
      </c>
    </row>
    <row r="13">
      <c r="B13" s="8" t="inlineStr">
        <is>
          <t>CO2 offset (annual)</t>
        </is>
      </c>
      <c r="C13" s="9">
        <f>ROUND(C8*0.82/1000, 2)</f>
        <v/>
      </c>
      <c r="D13" s="9" t="inlineStr">
        <is>
          <t>tonnes / year</t>
        </is>
      </c>
    </row>
    <row r="14">
      <c r="B14" s="5" t="inlineStr">
        <is>
          <t>Sanctioned load headroom</t>
        </is>
      </c>
      <c r="C14" s="6">
        <f>IFERROR(Inputs!C11 - C6, "--")</f>
        <v/>
      </c>
      <c r="D14" s="7" t="inlineStr">
        <is>
          <t>kW</t>
        </is>
      </c>
    </row>
  </sheetData>
  <mergeCells count="1"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9"/>
  <sheetViews>
    <sheetView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How this sheet works</t>
        </is>
      </c>
    </row>
    <row r="4">
      <c r="B4" s="12" t="inlineStr">
        <is>
          <t>Inputs sheet holds the values pulled from the customer's bill.</t>
        </is>
      </c>
    </row>
    <row r="5">
      <c r="B5" s="12" t="inlineStr">
        <is>
          <t>Solar sheet runs the calculations off those inputs -- formulas only,</t>
        </is>
      </c>
    </row>
    <row r="6">
      <c r="B6" s="12" t="inlineStr">
        <is>
          <t>so re-running the AI on a new bill just refreshes the numbers.</t>
        </is>
      </c>
    </row>
    <row r="7">
      <c r="B7" s="12" t="inlineStr">
        <is>
          <t>Yellow cells = editable inputs. Everything else is generated.</t>
        </is>
      </c>
    </row>
    <row r="8">
      <c r="B8" s="12" t="inlineStr">
        <is>
          <t>Assumptions used (sun hours, tariff, cost per kW) live on the Solar sheet</t>
        </is>
      </c>
    </row>
    <row r="9">
      <c r="B9" s="12" t="inlineStr">
        <is>
          <t>in cells C5, C9, and the cost multiplier in C7's formula -- override per customer.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2026-05-01T00:25:58Z</dcterms:created>
  <dcterms:modified xmlns:dcterms="http://purl.org/dc/terms/" xmlns:xsi="http://www.w3.org/2001/XMLSchema-instance" xsi:type="dcterms:W3CDTF">2026-05-01T00:45:43Z</dcterms:modified>
</cp:coreProperties>
</file>